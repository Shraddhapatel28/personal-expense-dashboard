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4bf741345ca76/Desktop/"/>
    </mc:Choice>
  </mc:AlternateContent>
  <xr:revisionPtr revIDLastSave="0" documentId="8_{94B23D97-458D-4057-AEC5-A6E15E55D7A7}" xr6:coauthVersionLast="47" xr6:coauthVersionMax="47" xr10:uidLastSave="{00000000-0000-0000-0000-000000000000}"/>
  <bookViews>
    <workbookView xWindow="-110" yWindow="-110" windowWidth="19420" windowHeight="10300" xr2:uid="{67757188-F027-4B2B-84DC-4EDF543414B8}"/>
  </bookViews>
  <sheets>
    <sheet name="Dashboard" sheetId="2" r:id="rId1"/>
    <sheet name="Expense 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</calcChain>
</file>

<file path=xl/sharedStrings.xml><?xml version="1.0" encoding="utf-8"?>
<sst xmlns="http://schemas.openxmlformats.org/spreadsheetml/2006/main" count="47" uniqueCount="14">
  <si>
    <t>Category</t>
  </si>
  <si>
    <t>Amount</t>
  </si>
  <si>
    <t>Date</t>
  </si>
  <si>
    <t>Food</t>
  </si>
  <si>
    <t>Travel</t>
  </si>
  <si>
    <t>Recharge</t>
  </si>
  <si>
    <t>Shopping</t>
  </si>
  <si>
    <t>Others</t>
  </si>
  <si>
    <t>Budget</t>
  </si>
  <si>
    <t>Grand Total</t>
  </si>
  <si>
    <t>Actual</t>
  </si>
  <si>
    <t>Catogory</t>
  </si>
  <si>
    <t>Actual Expense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</si>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</sst>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9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Font="1"/>
    <xf numFmtId="0" fontId="2" fillId="0" borderId="0" xfId="0" applyFont="1"/>
    <xf numFmtId="0" fontId="2" fillId="3" borderId="0" xfId="0" applyFont="1" applyFill="1"/>
    <xf numFmtId="0" fontId="0" fillId="0" borderId="0" xfId="0" applyNumberFormat="1" applyFont="1"/>
    <xf numFmtId="0" fontId="1" fillId="0" borderId="0" xfId="0" pivotButton="1" applyFont="1"/>
  </cellXfs>
  <cellStyles count="1">
    <cellStyle name="Normal" xfId="0" builtinId="0"/>
  </cellStyles>
  <dxfs count="35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i val="0"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Budget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Dashboard!$D$4:$D$8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Recharge</c:v>
                </c:pt>
                <c:pt idx="4">
                  <c:v>Others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1670</c:v>
                </c:pt>
                <c:pt idx="1">
                  <c:v>260</c:v>
                </c:pt>
                <c:pt idx="2">
                  <c:v>3200</c:v>
                </c:pt>
                <c:pt idx="3">
                  <c:v>448</c:v>
                </c:pt>
                <c:pt idx="4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B73-AA6E-FEAF56615CD1}"/>
            </c:ext>
          </c:extLst>
        </c:ser>
        <c:ser>
          <c:idx val="1"/>
          <c:order val="1"/>
          <c:tx>
            <c:strRef>
              <c:f>Dashboard!$F$3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Dashboard!$D$4:$D$8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Recharge</c:v>
                </c:pt>
                <c:pt idx="4">
                  <c:v>Others</c:v>
                </c:pt>
              </c:strCache>
            </c:strRef>
          </c:cat>
          <c:val>
            <c:numRef>
              <c:f>Dashboard!$F$4:$F$8</c:f>
              <c:numCache>
                <c:formatCode>General</c:formatCode>
                <c:ptCount val="5"/>
                <c:pt idx="0">
                  <c:v>2500</c:v>
                </c:pt>
                <c:pt idx="1">
                  <c:v>800</c:v>
                </c:pt>
                <c:pt idx="2">
                  <c:v>2500</c:v>
                </c:pt>
                <c:pt idx="3">
                  <c:v>500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97-4B73-AA6E-FEAF5661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789376"/>
        <c:axId val="2037789856"/>
      </c:barChart>
      <c:catAx>
        <c:axId val="203778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89856"/>
        <c:crosses val="autoZero"/>
        <c:auto val="1"/>
        <c:lblAlgn val="ctr"/>
        <c:lblOffset val="100"/>
        <c:noMultiLvlLbl val="0"/>
      </c:catAx>
      <c:valAx>
        <c:axId val="203778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8937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[Personal_Expense_Dashboard.xlsx]Dashboard!PivotTable1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</a:t>
            </a:r>
            <a:r>
              <a:rPr lang="en-IN" baseline="0"/>
              <a:t>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Dashboard!$A$4:$A$9</c:f>
              <c:strCache>
                <c:ptCount val="5"/>
                <c:pt idx="0">
                  <c:v>Food</c:v>
                </c:pt>
                <c:pt idx="1">
                  <c:v>Others</c:v>
                </c:pt>
                <c:pt idx="2">
                  <c:v>Recharge</c:v>
                </c:pt>
                <c:pt idx="3">
                  <c:v>Shopping</c:v>
                </c:pt>
                <c:pt idx="4">
                  <c:v>Travel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5"/>
                <c:pt idx="0">
                  <c:v>1670</c:v>
                </c:pt>
                <c:pt idx="1">
                  <c:v>130</c:v>
                </c:pt>
                <c:pt idx="2">
                  <c:v>448</c:v>
                </c:pt>
                <c:pt idx="3">
                  <c:v>3200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6-4B81-BAE0-4F57642BC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5879</xdr:colOff>
      <xdr:row>10</xdr:row>
      <xdr:rowOff>11758</xdr:rowOff>
    </xdr:from>
    <xdr:to>
      <xdr:col>7</xdr:col>
      <xdr:colOff>5880</xdr:colOff>
      <xdr:row>22</xdr:row>
      <xdr:rowOff>176389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CBA11-3D48-062B-A0C1-A3EB38D3F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10</xdr:row>
      <xdr:rowOff>11759</xdr:rowOff>
    </xdr:from>
    <xdr:to>
      <xdr:col>1</xdr:col>
      <xdr:colOff>946622</xdr:colOff>
      <xdr:row>22</xdr:row>
      <xdr:rowOff>170510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A156D7-91A1-44F1-B5C2-DA562CCC9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ddha Niranjan" refreshedDate="46117.431510416667" createdVersion="8" refreshedVersion="8" minRefreshableVersion="3" recordCount="20" xr:uid="{8E71896C-8686-4514-B685-D5E4DA707A9A}">
  <cacheSource type="worksheet">
    <worksheetSource name="Table1"/>
  </cacheSource>
  <cacheFields count="3">
    <cacheField name="Date" numFmtId="0">
      <sharedItems containsSemiMixedTypes="0" containsNonDate="0" containsDate="1" containsString="0" minDate="2026-03-25T00:00:00" maxDate="2026-04-04T00:00:00"/>
    </cacheField>
    <cacheField name="Category" numFmtId="0">
      <sharedItems count="5">
        <s v="Food"/>
        <s v="Travel"/>
        <s v="Recharge"/>
        <s v="Shopping"/>
        <s v="Others"/>
      </sharedItems>
    </cacheField>
    <cacheField name="Amount" numFmtId="0">
      <sharedItems containsSemiMixedTypes="0" containsString="0" containsNumber="1" containsInteger="1" minValue="45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6-03-25T00:00:00"/>
    <x v="0"/>
    <n v="120"/>
  </r>
  <r>
    <d v="2026-03-25T00:00:00"/>
    <x v="1"/>
    <n v="45"/>
  </r>
  <r>
    <d v="2026-03-26T00:00:00"/>
    <x v="0"/>
    <n v="210"/>
  </r>
  <r>
    <d v="2026-03-26T00:00:00"/>
    <x v="2"/>
    <n v="249"/>
  </r>
  <r>
    <d v="2026-03-27T00:00:00"/>
    <x v="3"/>
    <n v="650"/>
  </r>
  <r>
    <d v="2026-03-27T00:00:00"/>
    <x v="0"/>
    <n v="90"/>
  </r>
  <r>
    <d v="2026-03-28T00:00:00"/>
    <x v="1"/>
    <n v="70"/>
  </r>
  <r>
    <d v="2026-03-28T00:00:00"/>
    <x v="0"/>
    <n v="160"/>
  </r>
  <r>
    <d v="2026-03-29T00:00:00"/>
    <x v="3"/>
    <n v="1200"/>
  </r>
  <r>
    <d v="2026-03-29T00:00:00"/>
    <x v="0"/>
    <n v="220"/>
  </r>
  <r>
    <d v="2026-03-30T00:00:00"/>
    <x v="2"/>
    <n v="199"/>
  </r>
  <r>
    <d v="2026-03-30T00:00:00"/>
    <x v="1"/>
    <n v="85"/>
  </r>
  <r>
    <d v="2026-03-31T00:00:00"/>
    <x v="0"/>
    <n v="300"/>
  </r>
  <r>
    <d v="2026-03-31T00:00:00"/>
    <x v="3"/>
    <n v="450"/>
  </r>
  <r>
    <d v="2026-04-01T00:00:00"/>
    <x v="0"/>
    <n v="140"/>
  </r>
  <r>
    <d v="2026-04-01T00:00:00"/>
    <x v="1"/>
    <n v="60"/>
  </r>
  <r>
    <d v="2026-04-02T00:00:00"/>
    <x v="0"/>
    <n v="180"/>
  </r>
  <r>
    <d v="2026-04-02T00:00:00"/>
    <x v="4"/>
    <n v="130"/>
  </r>
  <r>
    <d v="2026-04-03T00:00:00"/>
    <x v="3"/>
    <n v="900"/>
  </r>
  <r>
    <d v="2026-04-03T00:00:00"/>
    <x v="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96EE5-A2AB-4A65-9AD7-090804793D2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ogory">
  <location ref="A3:B9" firstHeaderRow="1" firstDataRow="1" firstDataCol="1"/>
  <pivotFields count="3">
    <pivotField showAll="0"/>
    <pivotField axis="axisRow" showAll="0" sortType="ascending">
      <items count="6">
        <item x="0"/>
        <item x="4"/>
        <item x="2"/>
        <item x="3"/>
        <item x="1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ctual Expense" fld="2" baseField="1" baseItem="0"/>
  </dataFields>
  <formats count="2">
    <format dxfId="4">
      <pivotArea field="1" type="button" dataOnly="0" labelOnly="1" outline="0" axis="axisRow" fieldPosition="0"/>
    </format>
    <format dxfId="5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838F3B-F173-4765-BB85-33AD92BFEF47}" name="Table3" displayName="Table3" ref="D3:G8" totalsRowShown="0" headerRowDxfId="14">
  <autoFilter ref="D3:G8" xr:uid="{C3838F3B-F173-4765-BB85-33AD92BFEF47}"/>
  <tableColumns count="4">
    <tableColumn id="1" xr3:uid="{06244BB4-A3AC-4C08-AC5D-E0BCBE3A5944}" name="Category" dataDxfId="18"/>
    <tableColumn id="2" xr3:uid="{73A95490-C346-4C77-9526-B66D0EF59F9B}" name="Actual" dataDxfId="17"/>
    <tableColumn id="3" xr3:uid="{5D616F18-7835-403B-ADB1-643E5B7A3611}" name="Budget" dataDxfId="16"/>
    <tableColumn id="4" xr3:uid="{9EE5E83A-0EEF-43CE-A41A-340DCE734CC4}" name="Difference" dataDxfId="15">
      <calculatedColumnFormula>F4-E4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C9A07-813F-4176-A5F3-2450092A3DA4}" name="Table1" displayName="Table1" ref="A1:C21" totalsRowShown="0" headerRowDxfId="33">
  <autoFilter ref="A1:C21" xr:uid="{C4CC9A07-813F-4176-A5F3-2450092A3DA4}"/>
  <tableColumns count="3">
    <tableColumn id="1" xr3:uid="{4DB27DE1-93F1-4380-B80B-1D29E46ACCED}" name="Date" dataDxfId="34"/>
    <tableColumn id="2" xr3:uid="{506A53E7-F8DA-4D17-B17C-A71BDFDEF084}" name="Category"/>
    <tableColumn id="3" xr3:uid="{52F19D98-15AC-4E0A-93EC-5BA364B248A2}" name="Amount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34F720-5CB2-4366-9A96-5EBDE0A5A4AF}" name="Table2" displayName="Table2" ref="F1:G6" totalsRowShown="0" headerRowDxfId="32">
  <autoFilter ref="F1:G6" xr:uid="{D534F720-5CB2-4366-9A96-5EBDE0A5A4AF}"/>
  <tableColumns count="2">
    <tableColumn id="1" xr3:uid="{1B69A334-2767-4B33-B497-7A32297B2412}" name="Category"/>
    <tableColumn id="2" xr3:uid="{D0CBF7F8-93D7-46A5-9510-709A9EDEA367}" name="Budget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AC00-DB69-4D61-A07E-E378639102CE}">
  <dimension ref="A3:G9"/>
  <sheetViews>
    <sheetView tabSelected="1" topLeftCell="A2" zoomScale="108" workbookViewId="0">
      <selection activeCell="N11" sqref="N11"/>
    </sheetView>
  </sheetViews>
  <sheetFormatPr defaultRowHeight="14.5" x14ac:dyDescent="0.35"/>
  <cols>
    <col min="1" max="1" width="27.453125" customWidth="1"/>
    <col min="2" max="2" width="13.6328125" bestFit="1" customWidth="1"/>
    <col min="4" max="4" width="10.08984375" customWidth="1"/>
    <col min="7" max="7" width="11.81640625" customWidth="1"/>
    <col min="8" max="8" width="11.26953125" customWidth="1"/>
  </cols>
  <sheetData>
    <row r="3" spans="1:7" x14ac:dyDescent="0.35">
      <c r="A3" s="12" t="s">
        <v>11</v>
      </c>
      <c r="B3" s="7" t="s">
        <v>12</v>
      </c>
      <c r="D3" s="8" t="s">
        <v>0</v>
      </c>
      <c r="E3" s="8" t="s">
        <v>10</v>
      </c>
      <c r="F3" s="8" t="s">
        <v>8</v>
      </c>
      <c r="G3" s="8" t="s">
        <v>13</v>
      </c>
    </row>
    <row r="4" spans="1:7" x14ac:dyDescent="0.35">
      <c r="A4" s="5" t="s">
        <v>3</v>
      </c>
      <c r="B4" s="6">
        <v>1670</v>
      </c>
      <c r="D4" s="8" t="s">
        <v>3</v>
      </c>
      <c r="E4" s="11">
        <v>1670</v>
      </c>
      <c r="F4" s="3">
        <v>2500</v>
      </c>
      <c r="G4" s="8">
        <f>F4-E4</f>
        <v>830</v>
      </c>
    </row>
    <row r="5" spans="1:7" x14ac:dyDescent="0.35">
      <c r="A5" s="5" t="s">
        <v>7</v>
      </c>
      <c r="B5" s="6">
        <v>130</v>
      </c>
      <c r="D5" s="8" t="s">
        <v>4</v>
      </c>
      <c r="E5" s="11">
        <v>260</v>
      </c>
      <c r="F5" s="4">
        <v>800</v>
      </c>
      <c r="G5" s="8">
        <f t="shared" ref="G5:G8" si="0">F5-E5</f>
        <v>540</v>
      </c>
    </row>
    <row r="6" spans="1:7" x14ac:dyDescent="0.35">
      <c r="A6" s="5" t="s">
        <v>5</v>
      </c>
      <c r="B6" s="6">
        <v>448</v>
      </c>
      <c r="D6" s="8" t="s">
        <v>6</v>
      </c>
      <c r="E6" s="11">
        <v>3200</v>
      </c>
      <c r="F6" s="3">
        <v>2500</v>
      </c>
      <c r="G6" s="8">
        <f t="shared" si="0"/>
        <v>-700</v>
      </c>
    </row>
    <row r="7" spans="1:7" x14ac:dyDescent="0.35">
      <c r="A7" s="5" t="s">
        <v>6</v>
      </c>
      <c r="B7" s="6">
        <v>3200</v>
      </c>
      <c r="D7" s="8" t="s">
        <v>5</v>
      </c>
      <c r="E7" s="11">
        <v>448</v>
      </c>
      <c r="F7" s="4">
        <v>500</v>
      </c>
      <c r="G7" s="8">
        <f t="shared" si="0"/>
        <v>52</v>
      </c>
    </row>
    <row r="8" spans="1:7" x14ac:dyDescent="0.35">
      <c r="A8" s="5" t="s">
        <v>4</v>
      </c>
      <c r="B8" s="6">
        <v>260</v>
      </c>
      <c r="D8" s="8" t="s">
        <v>7</v>
      </c>
      <c r="E8" s="11">
        <v>130</v>
      </c>
      <c r="F8" s="3">
        <v>500</v>
      </c>
      <c r="G8" s="8">
        <f t="shared" si="0"/>
        <v>370</v>
      </c>
    </row>
    <row r="9" spans="1:7" x14ac:dyDescent="0.35">
      <c r="A9" s="5" t="s">
        <v>9</v>
      </c>
      <c r="B9" s="6">
        <v>5708</v>
      </c>
    </row>
  </sheetData>
  <conditionalFormatting sqref="G4:G8">
    <cfRule type="cellIs" dxfId="6" priority="2" operator="greaterThan">
      <formula>0</formula>
    </cfRule>
    <cfRule type="cellIs" dxfId="7" priority="1" operator="lessThan">
      <formula>0</formula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9419-6C7C-4777-9F44-2AF4AB46AC35}">
  <dimension ref="A1:G21"/>
  <sheetViews>
    <sheetView zoomScale="110" workbookViewId="0">
      <selection activeCell="E6" sqref="E6"/>
    </sheetView>
  </sheetViews>
  <sheetFormatPr defaultRowHeight="14.5" x14ac:dyDescent="0.35"/>
  <cols>
    <col min="1" max="1" width="11.81640625" customWidth="1"/>
    <col min="2" max="2" width="10.26953125" customWidth="1"/>
    <col min="3" max="3" width="9.6328125" customWidth="1"/>
    <col min="6" max="6" width="10.26953125" customWidth="1"/>
  </cols>
  <sheetData>
    <row r="1" spans="1:7" x14ac:dyDescent="0.35">
      <c r="A1" s="9" t="s">
        <v>2</v>
      </c>
      <c r="B1" s="9" t="s">
        <v>0</v>
      </c>
      <c r="C1" s="9" t="s">
        <v>1</v>
      </c>
      <c r="F1" s="10" t="s">
        <v>0</v>
      </c>
      <c r="G1" s="10" t="s">
        <v>8</v>
      </c>
    </row>
    <row r="2" spans="1:7" x14ac:dyDescent="0.35">
      <c r="A2" s="2">
        <v>46106</v>
      </c>
      <c r="B2" t="s">
        <v>3</v>
      </c>
      <c r="C2">
        <v>120</v>
      </c>
      <c r="F2" t="s">
        <v>3</v>
      </c>
      <c r="G2">
        <v>2500</v>
      </c>
    </row>
    <row r="3" spans="1:7" x14ac:dyDescent="0.35">
      <c r="A3" s="1">
        <v>46106</v>
      </c>
      <c r="B3" t="s">
        <v>4</v>
      </c>
      <c r="C3">
        <v>45</v>
      </c>
      <c r="F3" t="s">
        <v>4</v>
      </c>
      <c r="G3">
        <v>800</v>
      </c>
    </row>
    <row r="4" spans="1:7" x14ac:dyDescent="0.35">
      <c r="A4" s="1">
        <v>46107</v>
      </c>
      <c r="B4" t="s">
        <v>3</v>
      </c>
      <c r="C4">
        <v>210</v>
      </c>
      <c r="F4" t="s">
        <v>6</v>
      </c>
      <c r="G4">
        <v>2500</v>
      </c>
    </row>
    <row r="5" spans="1:7" x14ac:dyDescent="0.35">
      <c r="A5" s="1">
        <v>46107</v>
      </c>
      <c r="B5" t="s">
        <v>5</v>
      </c>
      <c r="C5">
        <v>249</v>
      </c>
      <c r="F5" t="s">
        <v>5</v>
      </c>
      <c r="G5">
        <v>500</v>
      </c>
    </row>
    <row r="6" spans="1:7" x14ac:dyDescent="0.35">
      <c r="A6" s="1">
        <v>46108</v>
      </c>
      <c r="B6" t="s">
        <v>6</v>
      </c>
      <c r="C6">
        <v>650</v>
      </c>
      <c r="F6" t="s">
        <v>7</v>
      </c>
      <c r="G6">
        <v>500</v>
      </c>
    </row>
    <row r="7" spans="1:7" x14ac:dyDescent="0.35">
      <c r="A7" s="1">
        <v>46108</v>
      </c>
      <c r="B7" t="s">
        <v>3</v>
      </c>
      <c r="C7">
        <v>90</v>
      </c>
    </row>
    <row r="8" spans="1:7" x14ac:dyDescent="0.35">
      <c r="A8" s="1">
        <v>46109</v>
      </c>
      <c r="B8" t="s">
        <v>4</v>
      </c>
      <c r="C8">
        <v>70</v>
      </c>
    </row>
    <row r="9" spans="1:7" x14ac:dyDescent="0.35">
      <c r="A9" s="1">
        <v>46109</v>
      </c>
      <c r="B9" t="s">
        <v>3</v>
      </c>
      <c r="C9">
        <v>160</v>
      </c>
    </row>
    <row r="10" spans="1:7" x14ac:dyDescent="0.35">
      <c r="A10" s="1">
        <v>46110</v>
      </c>
      <c r="B10" t="s">
        <v>6</v>
      </c>
      <c r="C10">
        <v>1200</v>
      </c>
    </row>
    <row r="11" spans="1:7" x14ac:dyDescent="0.35">
      <c r="A11" s="1">
        <v>46110</v>
      </c>
      <c r="B11" t="s">
        <v>3</v>
      </c>
      <c r="C11">
        <v>220</v>
      </c>
    </row>
    <row r="12" spans="1:7" x14ac:dyDescent="0.35">
      <c r="A12" s="1">
        <v>46111</v>
      </c>
      <c r="B12" t="s">
        <v>5</v>
      </c>
      <c r="C12">
        <v>199</v>
      </c>
    </row>
    <row r="13" spans="1:7" x14ac:dyDescent="0.35">
      <c r="A13" s="1">
        <v>46111</v>
      </c>
      <c r="B13" t="s">
        <v>4</v>
      </c>
      <c r="C13">
        <v>85</v>
      </c>
    </row>
    <row r="14" spans="1:7" x14ac:dyDescent="0.35">
      <c r="A14" s="1">
        <v>46112</v>
      </c>
      <c r="B14" t="s">
        <v>3</v>
      </c>
      <c r="C14">
        <v>300</v>
      </c>
    </row>
    <row r="15" spans="1:7" x14ac:dyDescent="0.35">
      <c r="A15" s="1">
        <v>46112</v>
      </c>
      <c r="B15" t="s">
        <v>6</v>
      </c>
      <c r="C15">
        <v>450</v>
      </c>
    </row>
    <row r="16" spans="1:7" x14ac:dyDescent="0.35">
      <c r="A16" s="1">
        <v>46113</v>
      </c>
      <c r="B16" t="s">
        <v>3</v>
      </c>
      <c r="C16">
        <v>140</v>
      </c>
    </row>
    <row r="17" spans="1:3" x14ac:dyDescent="0.35">
      <c r="A17" s="1">
        <v>46113</v>
      </c>
      <c r="B17" t="s">
        <v>4</v>
      </c>
      <c r="C17">
        <v>60</v>
      </c>
    </row>
    <row r="18" spans="1:3" x14ac:dyDescent="0.35">
      <c r="A18" s="1">
        <v>46114</v>
      </c>
      <c r="B18" t="s">
        <v>3</v>
      </c>
      <c r="C18">
        <v>180</v>
      </c>
    </row>
    <row r="19" spans="1:3" x14ac:dyDescent="0.35">
      <c r="A19" s="1">
        <v>46114</v>
      </c>
      <c r="B19" t="s">
        <v>7</v>
      </c>
      <c r="C19">
        <v>130</v>
      </c>
    </row>
    <row r="20" spans="1:3" x14ac:dyDescent="0.35">
      <c r="A20" s="1">
        <v>46115</v>
      </c>
      <c r="B20" t="s">
        <v>6</v>
      </c>
      <c r="C20">
        <v>900</v>
      </c>
    </row>
    <row r="21" spans="1:3" x14ac:dyDescent="0.35">
      <c r="A21" s="1">
        <v>46115</v>
      </c>
      <c r="B21" t="s">
        <v>3</v>
      </c>
      <c r="C21">
        <v>250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Expense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PATEL</dc:creator>
  <cp:lastModifiedBy>SHRADDHA PATEL</cp:lastModifiedBy>
  <dcterms:created xsi:type="dcterms:W3CDTF">2026-04-05T04:43:14Z</dcterms:created>
  <dcterms:modified xsi:type="dcterms:W3CDTF">2026-04-05T05:54:20Z</dcterms:modified>
</cp:coreProperties>
</file>